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oo\Documents\GitHub\Cloud_BuckConvertor\Technical\"/>
    </mc:Choice>
  </mc:AlternateContent>
  <xr:revisionPtr revIDLastSave="0" documentId="13_ncr:1_{8C2BCFC3-9D6B-4221-8128-E5294295A1A8}" xr6:coauthVersionLast="47" xr6:coauthVersionMax="47" xr10:uidLastSave="{00000000-0000-0000-0000-000000000000}"/>
  <bookViews>
    <workbookView xWindow="-120" yWindow="-120" windowWidth="29040" windowHeight="15840" xr2:uid="{CAB4DA18-4DFC-4905-95E3-33E66E45A4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3" i="1" l="1"/>
  <c r="K41" i="1"/>
  <c r="K39" i="1"/>
  <c r="K37" i="1"/>
  <c r="K25" i="1"/>
  <c r="K31" i="1"/>
  <c r="K33" i="1"/>
  <c r="K35" i="1"/>
  <c r="K29" i="1"/>
  <c r="K27" i="1"/>
  <c r="K23" i="1"/>
  <c r="K21" i="1"/>
</calcChain>
</file>

<file path=xl/sharedStrings.xml><?xml version="1.0" encoding="utf-8"?>
<sst xmlns="http://schemas.openxmlformats.org/spreadsheetml/2006/main" count="96" uniqueCount="92">
  <si>
    <t>Part Name</t>
  </si>
  <si>
    <t>Cost</t>
  </si>
  <si>
    <t>Link</t>
  </si>
  <si>
    <t>Selected Parts</t>
  </si>
  <si>
    <t>Part Type</t>
  </si>
  <si>
    <t>Switching regulator</t>
  </si>
  <si>
    <t>Voltmeter IC</t>
  </si>
  <si>
    <t>MAX1496</t>
  </si>
  <si>
    <t>https://www.analog.com/media/en/technical-documentation/data-sheets/max1447-max1498.pdf</t>
  </si>
  <si>
    <t>Linear Regulator</t>
  </si>
  <si>
    <t>https://www.umw-ic.com/static/pdf/7c0b4ec8a4d17a4fa29d0083fbaa81d3.pdf</t>
  </si>
  <si>
    <t>78L05</t>
  </si>
  <si>
    <t>https://www.ti.com/lit/ds/symlink/tps56a37.pdf?ts=1778708893817</t>
  </si>
  <si>
    <t>TPS56A37</t>
  </si>
  <si>
    <t>Screwless Terminal</t>
  </si>
  <si>
    <t>2604-1102</t>
  </si>
  <si>
    <t>https://www.digikey.com/en/products/detail/wago-corporation/2604-1102/15553526</t>
  </si>
  <si>
    <t>Quantity</t>
  </si>
  <si>
    <t>Quantity (Including Backup)</t>
  </si>
  <si>
    <t>Total Cost</t>
  </si>
  <si>
    <t>Part</t>
  </si>
  <si>
    <t>Manufacturer</t>
  </si>
  <si>
    <t>Part Number</t>
  </si>
  <si>
    <t>Price ($)</t>
  </si>
  <si>
    <t>Footprint (mm²)</t>
  </si>
  <si>
    <t>Description</t>
  </si>
  <si>
    <t>Rfbb</t>
  </si>
  <si>
    <t>Yageo</t>
  </si>
  <si>
    <t>RC0201FR-0710KL</t>
  </si>
  <si>
    <t xml:space="preserve">Resistance: 10 kΩ  Tolerance: 1.0%  Power: 50 mW  </t>
  </si>
  <si>
    <t>Rfbt</t>
  </si>
  <si>
    <t>Panasonic</t>
  </si>
  <si>
    <t>ERJ-6ENF7322V</t>
  </si>
  <si>
    <t xml:space="preserve">Resistance: 73.2 kΩ  Tolerance: 1.0%  Power: 125 mW  </t>
  </si>
  <si>
    <t>Cin</t>
  </si>
  <si>
    <t>Taiyo Yuden</t>
  </si>
  <si>
    <t>MSASU32MSB5106KPNA01</t>
  </si>
  <si>
    <t xml:space="preserve">Cap: 10 µF  Total Derated Cap: 8 µF  VDC: 50 V  ESR: 3.98 mΩ  Package: 1210  </t>
  </si>
  <si>
    <t>Cout</t>
  </si>
  <si>
    <t>TDK</t>
  </si>
  <si>
    <t>C3225X6S1C226M250AC</t>
  </si>
  <si>
    <t xml:space="preserve">Cap: 22 µF  Total Derated Cap: 30 µF  VDC: 16 V  ESR: 2.58 mΩ  Package: 1210_280  </t>
  </si>
  <si>
    <t>L1</t>
  </si>
  <si>
    <t>Coilcraft</t>
  </si>
  <si>
    <t>XAL7070-332MEB</t>
  </si>
  <si>
    <t xml:space="preserve">L: 3.3 µH  DCR: 8.6 mΩ  IDC: 15.1 A  </t>
  </si>
  <si>
    <t>Cboot</t>
  </si>
  <si>
    <t>EMK107B7104KA-T</t>
  </si>
  <si>
    <t xml:space="preserve">Cap: 100 nF  Total Derated Cap: 100 nF  VDC: 16 V  ESR: 1 mΩ  Package: 0603  </t>
  </si>
  <si>
    <t>Cinx</t>
  </si>
  <si>
    <t>CC0805KRX7R9BB104</t>
  </si>
  <si>
    <t xml:space="preserve">Cap: 100 nF  Total Derated Cap: 88 nF  VDC: 50 V  ESR: 1 mΩ  Package: 0805  </t>
  </si>
  <si>
    <t>U1</t>
  </si>
  <si>
    <t>Texas Instruments</t>
  </si>
  <si>
    <t>TPS56A37RPAR</t>
  </si>
  <si>
    <t>Rpg</t>
  </si>
  <si>
    <t>Vishay-Dale</t>
  </si>
  <si>
    <t>CRCW0402100KFKED</t>
  </si>
  <si>
    <t xml:space="preserve">Resistance: 100 kΩ  Tolerance: 1.0%  Power: 63 mW  </t>
  </si>
  <si>
    <t>Rmode</t>
  </si>
  <si>
    <t>CRCW040252K3FKED</t>
  </si>
  <si>
    <t xml:space="preserve">Resistance: 52.3 kΩ  Tolerance: 1.0%  Power: 63 mW  </t>
  </si>
  <si>
    <t>Cff</t>
  </si>
  <si>
    <t>Kemet</t>
  </si>
  <si>
    <t>C0603C151K3GACTU</t>
  </si>
  <si>
    <t xml:space="preserve">Cap: 150 pF  Total Derated Cap: 150 pF  VDC: 25 V  ESR: 0 Ω  Package: 0603  </t>
  </si>
  <si>
    <t>Css</t>
  </si>
  <si>
    <t>MuRata</t>
  </si>
  <si>
    <t>GRM155R71C223KA01D</t>
  </si>
  <si>
    <t xml:space="preserve">Cap: 22 nF  Total Derated Cap: 22 nF  VDC: 16 V  ESR: 1 mΩ  Package: 0402  </t>
  </si>
  <si>
    <t>Fuse Holder</t>
  </si>
  <si>
    <t>https://www.digikey.com/en/products/detail/keystone-electronics/3568/2137306</t>
  </si>
  <si>
    <t>Fuse</t>
  </si>
  <si>
    <t>0297010.WXNV</t>
  </si>
  <si>
    <t>https://www.digikey.com/en/products/detail/littelfuse-inc/0297010-WXNV/146591</t>
  </si>
  <si>
    <t>IRF4905PBF</t>
  </si>
  <si>
    <t>P Channel MOSFET</t>
  </si>
  <si>
    <t>https://www.digikey.com/en/products/detail/infineon-technologies/IRF4905PBF/812139</t>
  </si>
  <si>
    <t>Gate Diode</t>
  </si>
  <si>
    <t>Gate Resistor</t>
  </si>
  <si>
    <t>CRCW080510K0FKEA</t>
  </si>
  <si>
    <t>https://www.digikey.com/en/products/detail/vishay-dale/CRCW080510K0FKEA/1175751</t>
  </si>
  <si>
    <t>1N4742A</t>
  </si>
  <si>
    <t>https://www.digikey.com/en/products/detail/good-ark-semiconductor/1N4742A/22531656</t>
  </si>
  <si>
    <t>https://www.digikey.com/en/products/detail/yageo/RC0805FR-071K5L/727496</t>
  </si>
  <si>
    <t>Status LED Resistor</t>
  </si>
  <si>
    <t>RC0805FR-071K5L</t>
  </si>
  <si>
    <t>Red Status LED</t>
  </si>
  <si>
    <t>https://www.digikey.com/en/products/detail/liteon/LTST-C170KRKT/386779</t>
  </si>
  <si>
    <t>LTST-C170KRKT</t>
  </si>
  <si>
    <t>Green Status LED</t>
  </si>
  <si>
    <t>https://www.digikey.com/en/products/detail/liteon/LTST-C170KGKT/386777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</si>
</sst>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44" fontId="0" fillId="0" borderId="0" xfId="1" applyFont="1"/>
    <xf numFmtId="0" fontId="2" fillId="0" borderId="0" xfId="0" applyFont="1"/>
    <xf numFmtId="0" fontId="6" fillId="0" borderId="0" xfId="0" applyFont="1"/>
    <xf numFmtId="44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2" applyAlignment="1">
      <alignment horizontal="center"/>
    </xf>
    <xf numFmtId="0" fontId="6" fillId="0" borderId="0" xfId="0" applyFont="1" applyAlignment="1">
      <alignment horizontal="center"/>
    </xf>
    <xf numFmtId="44" fontId="6" fillId="0" borderId="0" xfId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NumberFormat="1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vishay-dale/CRCW080510K0FKEA/1175751" TargetMode="External"/><Relationship Id="rId3" Type="http://schemas.openxmlformats.org/officeDocument/2006/relationships/hyperlink" Target="https://www.digikey.com/en/products/detail/wago-corporation/2604-1102/15553526" TargetMode="External"/><Relationship Id="rId7" Type="http://schemas.openxmlformats.org/officeDocument/2006/relationships/hyperlink" Target="https://www.digikey.com/en/products/detail/infineon-technologies/IRF4905PBF/812139" TargetMode="External"/><Relationship Id="rId12" Type="http://schemas.openxmlformats.org/officeDocument/2006/relationships/hyperlink" Target="https://www.digikey.com/en/products/detail/liteon/LTST-C170KGKT/386777" TargetMode="External"/><Relationship Id="rId2" Type="http://schemas.openxmlformats.org/officeDocument/2006/relationships/hyperlink" Target="https://www.ti.com/lit/ds/symlink/tps56a37.pdf?ts=1778708893817" TargetMode="External"/><Relationship Id="rId1" Type="http://schemas.openxmlformats.org/officeDocument/2006/relationships/hyperlink" Target="https://www.analog.com/media/en/technical-documentation/data-sheets/max1447-max1498.pdf" TargetMode="External"/><Relationship Id="rId6" Type="http://schemas.openxmlformats.org/officeDocument/2006/relationships/hyperlink" Target="https://www.umw-ic.com/static/pdf/7c0b4ec8a4d17a4fa29d0083fbaa81d3.pdf" TargetMode="External"/><Relationship Id="rId11" Type="http://schemas.openxmlformats.org/officeDocument/2006/relationships/hyperlink" Target="https://www.digikey.com/en/products/detail/liteon/LTST-C170KRKT/386779" TargetMode="External"/><Relationship Id="rId5" Type="http://schemas.openxmlformats.org/officeDocument/2006/relationships/hyperlink" Target="https://www.digikey.com/en/products/detail/littelfuse-inc/0297010-WXNV/146591" TargetMode="External"/><Relationship Id="rId10" Type="http://schemas.openxmlformats.org/officeDocument/2006/relationships/hyperlink" Target="https://www.digikey.com/en/products/detail/yageo/RC0805FR-071K5L/727496" TargetMode="External"/><Relationship Id="rId4" Type="http://schemas.openxmlformats.org/officeDocument/2006/relationships/hyperlink" Target="https://www.digikey.com/en/products/detail/keystone-electronics/3568/2137306" TargetMode="External"/><Relationship Id="rId9" Type="http://schemas.openxmlformats.org/officeDocument/2006/relationships/hyperlink" Target="https://www.digikey.com/en/products/detail/good-ark-semiconductor/1N4742A/225316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88B8-4E34-435D-858F-0D07698507D5}">
  <dimension ref="A1:L44"/>
  <sheetViews>
    <sheetView tabSelected="1" topLeftCell="A10" workbookViewId="0">
      <selection activeCell="I39" sqref="I39:J40"/>
    </sheetView>
  </sheetViews>
  <sheetFormatPr defaultRowHeight="15" x14ac:dyDescent="0.25"/>
  <cols>
    <col min="2" max="2" width="17.28515625" bestFit="1" customWidth="1"/>
    <col min="3" max="3" width="24" bestFit="1" customWidth="1"/>
    <col min="4" max="4" width="14.140625" customWidth="1"/>
    <col min="5" max="5" width="9.140625" style="1"/>
    <col min="6" max="6" width="15.42578125" style="1" bestFit="1" customWidth="1"/>
    <col min="11" max="12" width="9.140625" style="1"/>
  </cols>
  <sheetData>
    <row r="1" spans="1:12" ht="15" customHeight="1" x14ac:dyDescent="0.25">
      <c r="A1" s="2" t="s">
        <v>20</v>
      </c>
      <c r="B1" s="2" t="s">
        <v>21</v>
      </c>
      <c r="C1" s="2" t="s">
        <v>22</v>
      </c>
      <c r="D1" s="2" t="s">
        <v>17</v>
      </c>
      <c r="E1" s="2" t="s">
        <v>23</v>
      </c>
      <c r="F1" s="2" t="s">
        <v>24</v>
      </c>
      <c r="G1" s="2" t="s">
        <v>25</v>
      </c>
      <c r="H1" s="2"/>
      <c r="K1"/>
      <c r="L1"/>
    </row>
    <row r="2" spans="1:12" ht="15" customHeight="1" x14ac:dyDescent="0.25">
      <c r="A2" t="s">
        <v>46</v>
      </c>
      <c r="B2" t="s">
        <v>35</v>
      </c>
      <c r="C2" t="s">
        <v>47</v>
      </c>
      <c r="D2">
        <v>1</v>
      </c>
      <c r="E2">
        <v>0.01</v>
      </c>
      <c r="F2">
        <v>4.68</v>
      </c>
      <c r="G2" t="s">
        <v>48</v>
      </c>
      <c r="K2"/>
      <c r="L2"/>
    </row>
    <row r="3" spans="1:12" x14ac:dyDescent="0.25">
      <c r="A3" t="s">
        <v>62</v>
      </c>
      <c r="B3" t="s">
        <v>63</v>
      </c>
      <c r="C3" t="s">
        <v>64</v>
      </c>
      <c r="D3">
        <v>1</v>
      </c>
      <c r="E3">
        <v>0.02</v>
      </c>
      <c r="F3">
        <v>4.68</v>
      </c>
      <c r="G3" t="s">
        <v>65</v>
      </c>
      <c r="K3"/>
      <c r="L3"/>
    </row>
    <row r="4" spans="1:12" x14ac:dyDescent="0.25">
      <c r="A4" t="s">
        <v>34</v>
      </c>
      <c r="B4" t="s">
        <v>35</v>
      </c>
      <c r="C4" t="s">
        <v>36</v>
      </c>
      <c r="D4">
        <v>2</v>
      </c>
      <c r="E4">
        <v>0.16148000000000001</v>
      </c>
      <c r="F4">
        <v>14.7</v>
      </c>
      <c r="G4" t="s">
        <v>37</v>
      </c>
      <c r="K4"/>
      <c r="L4"/>
    </row>
    <row r="5" spans="1:12" x14ac:dyDescent="0.25">
      <c r="A5" t="s">
        <v>49</v>
      </c>
      <c r="B5" t="s">
        <v>27</v>
      </c>
      <c r="C5" t="s">
        <v>50</v>
      </c>
      <c r="D5">
        <v>1</v>
      </c>
      <c r="E5">
        <v>0.02</v>
      </c>
      <c r="F5">
        <v>6.75</v>
      </c>
      <c r="G5" t="s">
        <v>51</v>
      </c>
      <c r="K5"/>
      <c r="L5"/>
    </row>
    <row r="6" spans="1:12" x14ac:dyDescent="0.25">
      <c r="A6" t="s">
        <v>38</v>
      </c>
      <c r="B6" t="s">
        <v>39</v>
      </c>
      <c r="C6" t="s">
        <v>40</v>
      </c>
      <c r="D6">
        <v>2</v>
      </c>
      <c r="E6">
        <v>0.22</v>
      </c>
      <c r="F6">
        <v>14.7</v>
      </c>
      <c r="G6" t="s">
        <v>41</v>
      </c>
      <c r="K6"/>
      <c r="L6"/>
    </row>
    <row r="7" spans="1:12" x14ac:dyDescent="0.25">
      <c r="A7" t="s">
        <v>66</v>
      </c>
      <c r="B7" t="s">
        <v>67</v>
      </c>
      <c r="C7" t="s">
        <v>68</v>
      </c>
      <c r="D7">
        <v>1</v>
      </c>
      <c r="E7">
        <v>0.01</v>
      </c>
      <c r="F7">
        <v>3</v>
      </c>
      <c r="G7" t="s">
        <v>69</v>
      </c>
      <c r="K7"/>
      <c r="L7"/>
    </row>
    <row r="8" spans="1:12" x14ac:dyDescent="0.25">
      <c r="A8" t="s">
        <v>42</v>
      </c>
      <c r="B8" t="s">
        <v>43</v>
      </c>
      <c r="C8" t="s">
        <v>44</v>
      </c>
      <c r="D8">
        <v>1</v>
      </c>
      <c r="E8">
        <v>1.19</v>
      </c>
      <c r="F8">
        <v>87.4</v>
      </c>
      <c r="G8" t="s">
        <v>45</v>
      </c>
      <c r="K8"/>
      <c r="L8"/>
    </row>
    <row r="9" spans="1:12" x14ac:dyDescent="0.25">
      <c r="A9" t="s">
        <v>26</v>
      </c>
      <c r="B9" t="s">
        <v>27</v>
      </c>
      <c r="C9" t="s">
        <v>28</v>
      </c>
      <c r="D9">
        <v>1</v>
      </c>
      <c r="E9">
        <v>0.01</v>
      </c>
      <c r="F9">
        <v>2.08</v>
      </c>
      <c r="G9" t="s">
        <v>29</v>
      </c>
      <c r="K9"/>
      <c r="L9"/>
    </row>
    <row r="10" spans="1:12" x14ac:dyDescent="0.25">
      <c r="A10" t="s">
        <v>30</v>
      </c>
      <c r="B10" t="s">
        <v>31</v>
      </c>
      <c r="C10" t="s">
        <v>32</v>
      </c>
      <c r="D10">
        <v>1</v>
      </c>
      <c r="E10">
        <v>0.01</v>
      </c>
      <c r="F10">
        <v>6.75</v>
      </c>
      <c r="G10" t="s">
        <v>33</v>
      </c>
      <c r="K10"/>
      <c r="L10"/>
    </row>
    <row r="11" spans="1:12" x14ac:dyDescent="0.25">
      <c r="A11" t="s">
        <v>59</v>
      </c>
      <c r="B11" t="s">
        <v>56</v>
      </c>
      <c r="C11" t="s">
        <v>60</v>
      </c>
      <c r="D11">
        <v>1</v>
      </c>
      <c r="E11">
        <v>0.01</v>
      </c>
      <c r="F11">
        <v>3</v>
      </c>
      <c r="G11" t="s">
        <v>61</v>
      </c>
      <c r="K11"/>
      <c r="L11"/>
    </row>
    <row r="12" spans="1:12" x14ac:dyDescent="0.25">
      <c r="A12" s="3" t="s">
        <v>55</v>
      </c>
      <c r="B12" s="3" t="s">
        <v>56</v>
      </c>
      <c r="C12" s="3" t="s">
        <v>57</v>
      </c>
      <c r="D12" s="3">
        <v>1</v>
      </c>
      <c r="E12" s="3">
        <v>0.01</v>
      </c>
      <c r="F12" s="3">
        <v>3</v>
      </c>
      <c r="G12" s="3" t="s">
        <v>58</v>
      </c>
      <c r="K12"/>
      <c r="L12"/>
    </row>
    <row r="13" spans="1:12" x14ac:dyDescent="0.25">
      <c r="A13" t="s">
        <v>52</v>
      </c>
      <c r="B13" t="s">
        <v>53</v>
      </c>
      <c r="C13" t="s">
        <v>54</v>
      </c>
      <c r="D13">
        <v>1</v>
      </c>
      <c r="E13">
        <v>1.111</v>
      </c>
      <c r="F13">
        <v>16</v>
      </c>
      <c r="K13"/>
      <c r="L13"/>
    </row>
    <row r="14" spans="1:12" x14ac:dyDescent="0.25">
      <c r="E14"/>
      <c r="F14"/>
      <c r="K14"/>
      <c r="L14"/>
    </row>
    <row r="15" spans="1:12" x14ac:dyDescent="0.25">
      <c r="E15"/>
      <c r="F15"/>
      <c r="K15"/>
      <c r="L15"/>
    </row>
    <row r="16" spans="1:12" x14ac:dyDescent="0.25">
      <c r="E16"/>
      <c r="F16"/>
      <c r="K16"/>
      <c r="L16"/>
    </row>
    <row r="17" spans="1:12" x14ac:dyDescent="0.25">
      <c r="A17" s="13" t="s">
        <v>3</v>
      </c>
      <c r="B17" s="13"/>
      <c r="C17" s="13"/>
      <c r="D17" s="13"/>
    </row>
    <row r="18" spans="1:12" x14ac:dyDescent="0.25">
      <c r="A18" s="13"/>
      <c r="B18" s="13"/>
      <c r="C18" s="13"/>
      <c r="D18" s="13"/>
    </row>
    <row r="19" spans="1:12" x14ac:dyDescent="0.25">
      <c r="A19" s="12" t="s">
        <v>4</v>
      </c>
      <c r="B19" s="12"/>
      <c r="C19" s="12" t="s">
        <v>0</v>
      </c>
      <c r="D19" s="12"/>
      <c r="E19" s="10" t="s">
        <v>1</v>
      </c>
      <c r="F19" s="10"/>
      <c r="G19" s="11" t="s">
        <v>18</v>
      </c>
      <c r="H19" s="11"/>
      <c r="I19" s="12" t="s">
        <v>2</v>
      </c>
      <c r="J19" s="12"/>
      <c r="K19" s="10" t="s">
        <v>19</v>
      </c>
      <c r="L19" s="10"/>
    </row>
    <row r="20" spans="1:12" x14ac:dyDescent="0.25">
      <c r="A20" s="12"/>
      <c r="B20" s="12"/>
      <c r="C20" s="12"/>
      <c r="D20" s="12"/>
      <c r="E20" s="10"/>
      <c r="F20" s="10"/>
      <c r="G20" s="11"/>
      <c r="H20" s="11"/>
      <c r="I20" s="12"/>
      <c r="J20" s="12"/>
      <c r="K20" s="10"/>
      <c r="L20" s="10"/>
    </row>
    <row r="21" spans="1:12" x14ac:dyDescent="0.25">
      <c r="A21" s="5" t="s">
        <v>5</v>
      </c>
      <c r="B21" s="5"/>
      <c r="C21" s="5" t="s">
        <v>13</v>
      </c>
      <c r="D21" s="5"/>
      <c r="E21" s="4"/>
      <c r="F21" s="4"/>
      <c r="G21" s="5">
        <v>2</v>
      </c>
      <c r="H21" s="5"/>
      <c r="I21" s="6" t="s">
        <v>12</v>
      </c>
      <c r="J21" s="6"/>
      <c r="K21" s="4">
        <f>E21*G21</f>
        <v>0</v>
      </c>
      <c r="L21" s="4"/>
    </row>
    <row r="22" spans="1:12" x14ac:dyDescent="0.25">
      <c r="A22" s="5"/>
      <c r="B22" s="5"/>
      <c r="C22" s="5"/>
      <c r="D22" s="5"/>
      <c r="E22" s="4"/>
      <c r="F22" s="4"/>
      <c r="G22" s="5"/>
      <c r="H22" s="5"/>
      <c r="I22" s="6"/>
      <c r="J22" s="6"/>
      <c r="K22" s="4"/>
      <c r="L22" s="4"/>
    </row>
    <row r="23" spans="1:12" x14ac:dyDescent="0.25">
      <c r="A23" s="5" t="s">
        <v>6</v>
      </c>
      <c r="B23" s="5"/>
      <c r="C23" s="5" t="s">
        <v>7</v>
      </c>
      <c r="D23" s="5"/>
      <c r="E23" s="4"/>
      <c r="F23" s="4"/>
      <c r="G23" s="5">
        <v>2</v>
      </c>
      <c r="H23" s="5"/>
      <c r="I23" s="6" t="s">
        <v>8</v>
      </c>
      <c r="J23" s="6"/>
      <c r="K23" s="4">
        <f>E23*G23</f>
        <v>0</v>
      </c>
      <c r="L23" s="4"/>
    </row>
    <row r="24" spans="1:12" x14ac:dyDescent="0.25">
      <c r="A24" s="5"/>
      <c r="B24" s="5"/>
      <c r="C24" s="5"/>
      <c r="D24" s="5"/>
      <c r="E24" s="4"/>
      <c r="F24" s="4"/>
      <c r="G24" s="5"/>
      <c r="H24" s="5"/>
      <c r="I24" s="6"/>
      <c r="J24" s="6"/>
      <c r="K24" s="4"/>
      <c r="L24" s="4"/>
    </row>
    <row r="25" spans="1:12" x14ac:dyDescent="0.25">
      <c r="A25" s="7" t="s">
        <v>9</v>
      </c>
      <c r="B25" s="7"/>
      <c r="C25" s="7" t="s">
        <v>11</v>
      </c>
      <c r="D25" s="7"/>
      <c r="E25" s="8"/>
      <c r="F25" s="8"/>
      <c r="G25" s="7">
        <v>2</v>
      </c>
      <c r="H25" s="7"/>
      <c r="I25" s="9" t="s">
        <v>10</v>
      </c>
      <c r="J25" s="9"/>
      <c r="K25" s="8">
        <f>E25*G25</f>
        <v>0</v>
      </c>
      <c r="L25" s="8"/>
    </row>
    <row r="26" spans="1:12" x14ac:dyDescent="0.25">
      <c r="A26" s="7"/>
      <c r="B26" s="7"/>
      <c r="C26" s="7"/>
      <c r="D26" s="7"/>
      <c r="E26" s="8"/>
      <c r="F26" s="8"/>
      <c r="G26" s="7"/>
      <c r="H26" s="7"/>
      <c r="I26" s="9"/>
      <c r="J26" s="9"/>
      <c r="K26" s="8"/>
      <c r="L26" s="8"/>
    </row>
    <row r="27" spans="1:12" x14ac:dyDescent="0.25">
      <c r="A27" s="5" t="s">
        <v>76</v>
      </c>
      <c r="B27" s="5"/>
      <c r="C27" s="5" t="s">
        <v>75</v>
      </c>
      <c r="D27" s="5"/>
      <c r="E27" s="4"/>
      <c r="F27" s="4"/>
      <c r="G27" s="5">
        <v>2</v>
      </c>
      <c r="H27" s="5"/>
      <c r="I27" s="6" t="s">
        <v>77</v>
      </c>
      <c r="J27" s="6"/>
      <c r="K27" s="4">
        <f>E27*G27</f>
        <v>0</v>
      </c>
      <c r="L27" s="4"/>
    </row>
    <row r="28" spans="1:12" x14ac:dyDescent="0.25">
      <c r="A28" s="5"/>
      <c r="B28" s="5"/>
      <c r="C28" s="5"/>
      <c r="D28" s="5"/>
      <c r="E28" s="4"/>
      <c r="F28" s="4"/>
      <c r="G28" s="5"/>
      <c r="H28" s="5"/>
      <c r="I28" s="6"/>
      <c r="J28" s="6"/>
      <c r="K28" s="4"/>
      <c r="L28" s="4"/>
    </row>
    <row r="29" spans="1:12" x14ac:dyDescent="0.25">
      <c r="A29" s="5" t="s">
        <v>14</v>
      </c>
      <c r="B29" s="5"/>
      <c r="C29" s="5" t="s">
        <v>15</v>
      </c>
      <c r="D29" s="5"/>
      <c r="E29" s="4"/>
      <c r="F29" s="4"/>
      <c r="G29" s="5">
        <v>4</v>
      </c>
      <c r="H29" s="5"/>
      <c r="I29" s="6" t="s">
        <v>16</v>
      </c>
      <c r="J29" s="6"/>
      <c r="K29" s="4">
        <f>E29*G29</f>
        <v>0</v>
      </c>
      <c r="L29" s="4"/>
    </row>
    <row r="30" spans="1:12" x14ac:dyDescent="0.25">
      <c r="A30" s="5"/>
      <c r="B30" s="5"/>
      <c r="C30" s="5"/>
      <c r="D30" s="5"/>
      <c r="E30" s="4"/>
      <c r="F30" s="4"/>
      <c r="G30" s="5"/>
      <c r="H30" s="5"/>
      <c r="I30" s="6"/>
      <c r="J30" s="6"/>
      <c r="K30" s="4"/>
      <c r="L30" s="4"/>
    </row>
    <row r="31" spans="1:12" x14ac:dyDescent="0.25">
      <c r="A31" s="5" t="s">
        <v>70</v>
      </c>
      <c r="B31" s="5"/>
      <c r="C31" s="5">
        <v>3568</v>
      </c>
      <c r="D31" s="5"/>
      <c r="E31" s="4"/>
      <c r="F31" s="4"/>
      <c r="G31" s="5">
        <v>2</v>
      </c>
      <c r="H31" s="5"/>
      <c r="I31" s="6" t="s">
        <v>71</v>
      </c>
      <c r="J31" s="6"/>
      <c r="K31" s="4">
        <f t="shared" ref="K31" si="0">E31*G31</f>
        <v>0</v>
      </c>
      <c r="L31" s="4"/>
    </row>
    <row r="32" spans="1:12" x14ac:dyDescent="0.25">
      <c r="A32" s="5"/>
      <c r="B32" s="5"/>
      <c r="C32" s="5"/>
      <c r="D32" s="5"/>
      <c r="E32" s="4"/>
      <c r="F32" s="4"/>
      <c r="G32" s="5"/>
      <c r="H32" s="5"/>
      <c r="I32" s="6"/>
      <c r="J32" s="6"/>
      <c r="K32" s="4"/>
      <c r="L32" s="4"/>
    </row>
    <row r="33" spans="1:12" x14ac:dyDescent="0.25">
      <c r="A33" s="5" t="s">
        <v>72</v>
      </c>
      <c r="B33" s="5"/>
      <c r="C33" s="5" t="s">
        <v>73</v>
      </c>
      <c r="D33" s="5"/>
      <c r="E33" s="4"/>
      <c r="F33" s="4"/>
      <c r="G33" s="5">
        <v>3</v>
      </c>
      <c r="H33" s="5"/>
      <c r="I33" s="6" t="s">
        <v>74</v>
      </c>
      <c r="J33" s="6"/>
      <c r="K33" s="4">
        <f t="shared" ref="K33" si="1">E33*G33</f>
        <v>0</v>
      </c>
      <c r="L33" s="4"/>
    </row>
    <row r="34" spans="1:12" x14ac:dyDescent="0.25">
      <c r="A34" s="5"/>
      <c r="B34" s="5"/>
      <c r="C34" s="5"/>
      <c r="D34" s="5"/>
      <c r="E34" s="4"/>
      <c r="F34" s="4"/>
      <c r="G34" s="5"/>
      <c r="H34" s="5"/>
      <c r="I34" s="6"/>
      <c r="J34" s="6"/>
      <c r="K34" s="4"/>
      <c r="L34" s="4"/>
    </row>
    <row r="35" spans="1:12" x14ac:dyDescent="0.25">
      <c r="A35" s="5" t="s">
        <v>78</v>
      </c>
      <c r="B35" s="5"/>
      <c r="C35" s="5" t="s">
        <v>82</v>
      </c>
      <c r="D35" s="5"/>
      <c r="E35" s="4"/>
      <c r="F35" s="4"/>
      <c r="G35" s="5">
        <v>2</v>
      </c>
      <c r="H35" s="5"/>
      <c r="I35" s="6" t="s">
        <v>83</v>
      </c>
      <c r="J35" s="6"/>
      <c r="K35" s="4">
        <f t="shared" ref="K35" si="2">E35*G35</f>
        <v>0</v>
      </c>
      <c r="L35" s="4"/>
    </row>
    <row r="36" spans="1:12" x14ac:dyDescent="0.25">
      <c r="A36" s="5"/>
      <c r="B36" s="5"/>
      <c r="C36" s="5"/>
      <c r="D36" s="5"/>
      <c r="E36" s="4"/>
      <c r="F36" s="4"/>
      <c r="G36" s="5"/>
      <c r="H36" s="5"/>
      <c r="I36" s="6"/>
      <c r="J36" s="6"/>
      <c r="K36" s="4"/>
      <c r="L36" s="4"/>
    </row>
    <row r="37" spans="1:12" x14ac:dyDescent="0.25">
      <c r="A37" s="5" t="s">
        <v>79</v>
      </c>
      <c r="B37" s="5"/>
      <c r="C37" s="5" t="s">
        <v>80</v>
      </c>
      <c r="D37" s="5"/>
      <c r="E37" s="4"/>
      <c r="F37" s="4"/>
      <c r="G37" s="5">
        <v>2</v>
      </c>
      <c r="H37" s="5"/>
      <c r="I37" s="6" t="s">
        <v>81</v>
      </c>
      <c r="J37" s="6"/>
      <c r="K37" s="4">
        <f t="shared" ref="K37" si="3">E37*G37</f>
        <v>0</v>
      </c>
      <c r="L37" s="4"/>
    </row>
    <row r="38" spans="1:12" x14ac:dyDescent="0.25">
      <c r="A38" s="5"/>
      <c r="B38" s="5"/>
      <c r="C38" s="5"/>
      <c r="D38" s="5"/>
      <c r="E38" s="4"/>
      <c r="F38" s="4"/>
      <c r="G38" s="5"/>
      <c r="H38" s="5"/>
      <c r="I38" s="6"/>
      <c r="J38" s="6"/>
      <c r="K38" s="4"/>
      <c r="L38" s="4"/>
    </row>
    <row r="39" spans="1:12" x14ac:dyDescent="0.25">
      <c r="A39" s="5" t="s">
        <v>85</v>
      </c>
      <c r="B39" s="5"/>
      <c r="C39" s="5" t="s">
        <v>86</v>
      </c>
      <c r="D39" s="5"/>
      <c r="E39" s="4"/>
      <c r="F39" s="4"/>
      <c r="G39" s="5">
        <v>4</v>
      </c>
      <c r="H39" s="5"/>
      <c r="I39" s="6" t="s">
        <v>84</v>
      </c>
      <c r="J39" s="6"/>
      <c r="K39" s="4">
        <f t="shared" ref="K39" si="4">E39*G39</f>
        <v>0</v>
      </c>
      <c r="L39" s="4"/>
    </row>
    <row r="40" spans="1:12" x14ac:dyDescent="0.25">
      <c r="A40" s="5"/>
      <c r="B40" s="5"/>
      <c r="C40" s="5"/>
      <c r="D40" s="5"/>
      <c r="E40" s="4"/>
      <c r="F40" s="4"/>
      <c r="G40" s="5"/>
      <c r="H40" s="5"/>
      <c r="I40" s="6"/>
      <c r="J40" s="6"/>
      <c r="K40" s="4"/>
      <c r="L40" s="4"/>
    </row>
    <row r="41" spans="1:12" x14ac:dyDescent="0.25">
      <c r="A41" s="5" t="s">
        <v>87</v>
      </c>
      <c r="B41" s="5"/>
      <c r="C41" s="5" t="s">
        <v>89</v>
      </c>
      <c r="D41" s="5"/>
      <c r="E41" s="4"/>
      <c r="F41" s="4"/>
      <c r="G41" s="5">
        <v>2</v>
      </c>
      <c r="H41" s="5"/>
      <c r="I41" s="6" t="s">
        <v>88</v>
      </c>
      <c r="J41" s="6"/>
      <c r="K41" s="4">
        <f t="shared" ref="K41" si="5">E41*G41</f>
        <v>0</v>
      </c>
      <c r="L41" s="4"/>
    </row>
    <row r="42" spans="1:12" x14ac:dyDescent="0.25">
      <c r="A42" s="5"/>
      <c r="B42" s="5"/>
      <c r="C42" s="5"/>
      <c r="D42" s="5"/>
      <c r="E42" s="4"/>
      <c r="F42" s="4"/>
      <c r="G42" s="5"/>
      <c r="H42" s="5"/>
      <c r="I42" s="6"/>
      <c r="J42" s="6"/>
      <c r="K42" s="4"/>
      <c r="L42" s="4"/>
    </row>
    <row r="43" spans="1:12" x14ac:dyDescent="0.25">
      <c r="A43" s="5" t="s">
        <v>90</v>
      </c>
      <c r="B43" s="5"/>
      <c r="C43" s="5" t="s">
        <v>89</v>
      </c>
      <c r="D43" s="5"/>
      <c r="E43" s="4"/>
      <c r="F43" s="4"/>
      <c r="G43" s="5">
        <v>2</v>
      </c>
      <c r="H43" s="5"/>
      <c r="I43" s="6" t="s">
        <v>91</v>
      </c>
      <c r="J43" s="6"/>
      <c r="K43" s="4">
        <f t="shared" ref="K43" si="6">E43*G43</f>
        <v>0</v>
      </c>
      <c r="L43" s="4"/>
    </row>
    <row r="44" spans="1:12" x14ac:dyDescent="0.25">
      <c r="A44" s="5"/>
      <c r="B44" s="5"/>
      <c r="C44" s="5"/>
      <c r="D44" s="5"/>
      <c r="E44" s="4"/>
      <c r="F44" s="4"/>
      <c r="G44" s="5"/>
      <c r="H44" s="5"/>
      <c r="I44" s="6"/>
      <c r="J44" s="6"/>
      <c r="K44" s="4"/>
      <c r="L44" s="4"/>
    </row>
  </sheetData>
  <sortState xmlns:xlrd2="http://schemas.microsoft.com/office/spreadsheetml/2017/richdata2" ref="A2:G13">
    <sortCondition ref="A2:A13"/>
  </sortState>
  <mergeCells count="79">
    <mergeCell ref="K41:L42"/>
    <mergeCell ref="A43:B44"/>
    <mergeCell ref="C43:D44"/>
    <mergeCell ref="E43:F44"/>
    <mergeCell ref="G43:H44"/>
    <mergeCell ref="I43:J44"/>
    <mergeCell ref="K43:L44"/>
    <mergeCell ref="A41:B42"/>
    <mergeCell ref="C41:D42"/>
    <mergeCell ref="E41:F42"/>
    <mergeCell ref="G41:H42"/>
    <mergeCell ref="I41:J42"/>
    <mergeCell ref="K35:L36"/>
    <mergeCell ref="A35:B36"/>
    <mergeCell ref="C35:D36"/>
    <mergeCell ref="E35:F36"/>
    <mergeCell ref="G35:H36"/>
    <mergeCell ref="I35:J36"/>
    <mergeCell ref="K31:L32"/>
    <mergeCell ref="A33:B34"/>
    <mergeCell ref="C33:D34"/>
    <mergeCell ref="E33:F34"/>
    <mergeCell ref="G33:H34"/>
    <mergeCell ref="I33:J34"/>
    <mergeCell ref="K33:L34"/>
    <mergeCell ref="A31:B32"/>
    <mergeCell ref="C31:D32"/>
    <mergeCell ref="E31:F32"/>
    <mergeCell ref="G31:H32"/>
    <mergeCell ref="I31:J32"/>
    <mergeCell ref="A17:D18"/>
    <mergeCell ref="A19:B20"/>
    <mergeCell ref="C19:D20"/>
    <mergeCell ref="A23:B24"/>
    <mergeCell ref="C23:D24"/>
    <mergeCell ref="E19:F20"/>
    <mergeCell ref="G19:H20"/>
    <mergeCell ref="I19:J20"/>
    <mergeCell ref="K19:L20"/>
    <mergeCell ref="A21:B22"/>
    <mergeCell ref="C21:D22"/>
    <mergeCell ref="E21:F22"/>
    <mergeCell ref="G21:H22"/>
    <mergeCell ref="I21:J22"/>
    <mergeCell ref="K21:L22"/>
    <mergeCell ref="E23:F24"/>
    <mergeCell ref="G23:H24"/>
    <mergeCell ref="I23:J24"/>
    <mergeCell ref="K23:L24"/>
    <mergeCell ref="A25:B26"/>
    <mergeCell ref="C25:D26"/>
    <mergeCell ref="E25:F26"/>
    <mergeCell ref="G25:H26"/>
    <mergeCell ref="I25:J26"/>
    <mergeCell ref="K25:L26"/>
    <mergeCell ref="K29:L30"/>
    <mergeCell ref="A27:B28"/>
    <mergeCell ref="C27:D28"/>
    <mergeCell ref="E27:F28"/>
    <mergeCell ref="G27:H28"/>
    <mergeCell ref="I27:J28"/>
    <mergeCell ref="K27:L28"/>
    <mergeCell ref="A29:B30"/>
    <mergeCell ref="C29:D30"/>
    <mergeCell ref="E29:F30"/>
    <mergeCell ref="G29:H30"/>
    <mergeCell ref="I29:J30"/>
    <mergeCell ref="K37:L38"/>
    <mergeCell ref="A39:B40"/>
    <mergeCell ref="C39:D40"/>
    <mergeCell ref="E39:F40"/>
    <mergeCell ref="G39:H40"/>
    <mergeCell ref="I39:J40"/>
    <mergeCell ref="K39:L40"/>
    <mergeCell ref="A37:B38"/>
    <mergeCell ref="C37:D38"/>
    <mergeCell ref="E37:F38"/>
    <mergeCell ref="G37:H38"/>
    <mergeCell ref="I37:J38"/>
  </mergeCells>
  <phoneticPr fontId="5" type="noConversion"/>
  <hyperlinks>
    <hyperlink ref="I23:J24" r:id="rId1" display="https://www.analog.com/media/en/technical-documentation/data-sheets/max1447-max1498.pdf" xr:uid="{01320E0B-63C8-4150-85FB-FAEDB9A8DD2D}"/>
    <hyperlink ref="I21:J22" r:id="rId2" display="https://www.ti.com/lit/ds/symlink/tps56a37.pdf?ts=1778708893817" xr:uid="{6588A583-C5C5-47AC-9320-298B98E02023}"/>
    <hyperlink ref="I29:J30" r:id="rId3" display="https://www.digikey.com/en/products/detail/wago-corporation/2604-1102/15553526" xr:uid="{0590C5BD-42F9-4787-BFC8-1BDB81FC50A6}"/>
    <hyperlink ref="I31:J32" r:id="rId4" display="https://www.digikey.com/en/products/detail/keystone-electronics/3568/2137306" xr:uid="{395C1F25-6EAE-4606-A798-5C7DE53A0289}"/>
    <hyperlink ref="I33:J34" r:id="rId5" display="https://www.digikey.com/en/products/detail/littelfuse-inc/0297010-WXNV/146591" xr:uid="{27ED35E4-36DA-4F5B-91B3-5048DB2BE8F3}"/>
    <hyperlink ref="I25:J26" r:id="rId6" display="https://www.umw-ic.com/static/pdf/7c0b4ec8a4d17a4fa29d0083fbaa81d3.pdf" xr:uid="{11605D3E-8C26-4B41-8D5D-F29387F32AE7}"/>
    <hyperlink ref="I27:J28" r:id="rId7" display="https://www.digikey.com/en/products/detail/infineon-technologies/IRF4905PBF/812139" xr:uid="{D8CA55C1-AAC2-4F76-AA7E-2C91545F76D2}"/>
    <hyperlink ref="I37:J38" r:id="rId8" display="https://www.digikey.com/en/products/detail/vishay-dale/CRCW080510K0FKEA/1175751" xr:uid="{C0097EAD-FE46-4E72-9214-7759533CA91B}"/>
    <hyperlink ref="I35:J36" r:id="rId9" display="https://www.digikey.com/en/products/detail/good-ark-semiconductor/1N4742A/22531656" xr:uid="{274BFA0A-0956-413F-92C2-120D15E4F50A}"/>
    <hyperlink ref="I39:J40" r:id="rId10" display="https://www.digikey.com/en/products/detail/yageo/RC0805FR-071K5L/727496" xr:uid="{F381900E-54C3-43AB-A17C-1555C921C48B}"/>
    <hyperlink ref="I41:J42" r:id="rId11" display="https://www.digikey.com/en/products/detail/liteon/LTST-C170KRKT/386779" xr:uid="{48287BC5-7711-420D-A23F-9830EBFC2D36}"/>
    <hyperlink ref="I43:J44" r:id="rId12" display="https://www.digikey.com/en/products/detail/liteon/LTST-C170KGKT/386777" xr:uid="{67A24FD4-0E5A-4A05-9BFF-0A3E373EDA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C. Li</dc:creator>
  <cp:lastModifiedBy>George C. Li</cp:lastModifiedBy>
  <dcterms:created xsi:type="dcterms:W3CDTF">2026-05-13T21:16:21Z</dcterms:created>
  <dcterms:modified xsi:type="dcterms:W3CDTF">2026-05-15T09:58:24Z</dcterms:modified>
</cp:coreProperties>
</file>